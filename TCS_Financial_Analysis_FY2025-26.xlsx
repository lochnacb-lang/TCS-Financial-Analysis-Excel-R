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 activeTab="1"/>
  </bookViews>
  <sheets>
    <sheet name="Income Statement" sheetId="1" r:id="rId1"/>
    <sheet name="Balance Sheet" sheetId="2" r:id="rId2"/>
    <sheet name="Cash Flow" sheetId="3" r:id="rId3"/>
  </sheets>
  <calcPr calcId="144525"/>
</workbook>
</file>

<file path=xl/calcChain.xml><?xml version="1.0" encoding="utf-8"?>
<calcChain xmlns="http://schemas.openxmlformats.org/spreadsheetml/2006/main">
  <c r="B12" i="3" l="1"/>
  <c r="B8" i="3"/>
  <c r="C12" i="1"/>
  <c r="B12" i="1"/>
  <c r="C11" i="1"/>
  <c r="B11" i="1"/>
  <c r="C12" i="3" l="1"/>
  <c r="C8" i="3"/>
  <c r="C13" i="2"/>
  <c r="B13" i="2"/>
  <c r="C12" i="2"/>
  <c r="B12" i="2"/>
  <c r="C11" i="2"/>
  <c r="B11" i="2"/>
</calcChain>
</file>

<file path=xl/sharedStrings.xml><?xml version="1.0" encoding="utf-8"?>
<sst xmlns="http://schemas.openxmlformats.org/spreadsheetml/2006/main" count="38" uniqueCount="37">
  <si>
    <t>Particular</t>
  </si>
  <si>
    <t>FY2025</t>
  </si>
  <si>
    <t>FY2026</t>
  </si>
  <si>
    <t>Revenue from Operations</t>
  </si>
  <si>
    <t>Other Income</t>
  </si>
  <si>
    <t>Total Income</t>
  </si>
  <si>
    <t>Total Expenses</t>
  </si>
  <si>
    <t>Profit Before Tax</t>
  </si>
  <si>
    <t>Tax Expense</t>
  </si>
  <si>
    <t>Profit After Tax</t>
  </si>
  <si>
    <r>
      <t xml:space="preserve">TCS Consolidated Income Statement
</t>
    </r>
    <r>
      <rPr>
        <b/>
        <sz val="10"/>
        <color theme="1"/>
        <rFont val="Calibri"/>
        <family val="2"/>
        <scheme val="minor"/>
      </rPr>
      <t>For the year ended 31 march 2026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</si>
  <si>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TCS Consolidated Balance Sheet</t>
    </r>
    <r>
      <rPr>
        <sz val="11"/>
        <color theme="1"/>
        <rFont val="Calibri"/>
        <family val="2"/>
        <scheme val="minor"/>
      </rPr>
      <t xml:space="preserve">
For the year ended 31 march 2026
 </t>
    </r>
  </si>
  <si>
    <r>
      <t xml:space="preserve">TCS Consolidated Cash Flow Statement
</t>
    </r>
    <r>
      <rPr>
        <sz val="9"/>
        <color theme="1"/>
        <rFont val="Calibri"/>
        <family val="2"/>
        <scheme val="minor"/>
      </rPr>
      <t>for the year Ended 31 march 2026</t>
    </r>
  </si>
  <si>
    <t>A — Particular</t>
  </si>
  <si>
    <t>B — FY2025</t>
  </si>
  <si>
    <t>C — FY2026</t>
  </si>
  <si>
    <t>Cash Flow from Operating Activities</t>
  </si>
  <si>
    <t>Cash Flow from Investing Activities</t>
  </si>
  <si>
    <t>Cash Flow from Financing Activities</t>
  </si>
  <si>
    <t>Net Change in Cash &amp; Cash Equivalents</t>
  </si>
  <si>
    <t>Cash &amp; Cash Equivalents at Beginning</t>
  </si>
  <si>
    <t>Cash &amp; Cash Equivalents at End</t>
  </si>
  <si>
    <t>Revenue Growth %</t>
  </si>
  <si>
    <t>Net Profit Margin</t>
  </si>
  <si>
    <t>Total Assets</t>
  </si>
  <si>
    <t>Total Equity</t>
  </si>
  <si>
    <t>Total Liabilities</t>
  </si>
  <si>
    <t>Current Assets</t>
  </si>
  <si>
    <t>Current Liabilities</t>
  </si>
  <si>
    <t>Cash &amp; Cash Equivalents</t>
  </si>
  <si>
    <t>Current Ratio</t>
  </si>
  <si>
    <t>Balance sheet check</t>
  </si>
  <si>
    <t>Cash Flow Check</t>
  </si>
  <si>
    <t>Liabilities/Equity</t>
  </si>
  <si>
    <t>A- Particular</t>
  </si>
  <si>
    <t xml:space="preserve">  B- FY2025</t>
  </si>
  <si>
    <t>C- FY2026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</si>
</sst>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E16" sqref="E16"/>
    </sheetView>
  </sheetViews>
  <sheetFormatPr defaultRowHeight="15" x14ac:dyDescent="0.25"/>
  <cols>
    <col min="1" max="1" width="23.85546875" customWidth="1"/>
    <col min="2" max="3" width="8.140625" customWidth="1"/>
  </cols>
  <sheetData>
    <row r="1" spans="1:10" ht="32.25" customHeight="1" x14ac:dyDescent="0.25">
      <c r="A1" s="13" t="s">
        <v>10</v>
      </c>
      <c r="B1" s="14"/>
      <c r="C1" s="14"/>
    </row>
    <row r="2" spans="1:10" ht="13.5" customHeight="1" x14ac:dyDescent="0.25">
      <c r="A2" s="14"/>
      <c r="B2" s="14"/>
      <c r="C2" s="14"/>
    </row>
    <row r="3" spans="1:10" x14ac:dyDescent="0.25">
      <c r="A3" s="2" t="s">
        <v>0</v>
      </c>
      <c r="B3" s="3" t="s">
        <v>1</v>
      </c>
      <c r="C3" s="3" t="s">
        <v>2</v>
      </c>
    </row>
    <row r="4" spans="1:10" x14ac:dyDescent="0.25">
      <c r="A4" s="4" t="s">
        <v>3</v>
      </c>
      <c r="B4" s="6">
        <v>255324</v>
      </c>
      <c r="C4" s="6">
        <v>267021</v>
      </c>
    </row>
    <row r="5" spans="1:10" ht="13.5" customHeight="1" x14ac:dyDescent="0.25">
      <c r="A5" s="4" t="s">
        <v>4</v>
      </c>
      <c r="B5" s="6">
        <v>3962</v>
      </c>
      <c r="C5" s="6">
        <v>4402</v>
      </c>
    </row>
    <row r="6" spans="1:10" ht="18" customHeight="1" x14ac:dyDescent="0.25">
      <c r="A6" s="4" t="s">
        <v>5</v>
      </c>
      <c r="B6" s="6">
        <v>259286</v>
      </c>
      <c r="C6" s="6">
        <v>271423</v>
      </c>
      <c r="H6" s="7"/>
      <c r="I6" s="7"/>
      <c r="J6" s="7"/>
    </row>
    <row r="7" spans="1:10" ht="16.5" customHeight="1" x14ac:dyDescent="0.25">
      <c r="A7" s="4" t="s">
        <v>6</v>
      </c>
      <c r="B7" s="6">
        <v>193955</v>
      </c>
      <c r="C7" s="6">
        <v>201410</v>
      </c>
    </row>
    <row r="8" spans="1:10" ht="15.75" customHeight="1" x14ac:dyDescent="0.25">
      <c r="A8" s="4" t="s">
        <v>7</v>
      </c>
      <c r="B8" s="6">
        <v>65331</v>
      </c>
      <c r="C8" s="6">
        <v>65487</v>
      </c>
    </row>
    <row r="9" spans="1:10" ht="14.25" customHeight="1" x14ac:dyDescent="0.25">
      <c r="A9" s="4" t="s">
        <v>8</v>
      </c>
      <c r="B9" s="6">
        <v>16534</v>
      </c>
      <c r="C9" s="6">
        <v>16033</v>
      </c>
    </row>
    <row r="10" spans="1:10" ht="18" customHeight="1" x14ac:dyDescent="0.25">
      <c r="A10" s="4" t="s">
        <v>9</v>
      </c>
      <c r="B10" s="6">
        <v>48797</v>
      </c>
      <c r="C10" s="6">
        <v>49454</v>
      </c>
    </row>
    <row r="11" spans="1:10" ht="13.5" customHeight="1" x14ac:dyDescent="0.25">
      <c r="A11" s="8" t="s">
        <v>22</v>
      </c>
      <c r="B11" s="12">
        <f>(C4/B4)-1</f>
        <v>4.581237956478823E-2</v>
      </c>
      <c r="C11" s="11">
        <f>(C4/B4)-1</f>
        <v>4.581237956478823E-2</v>
      </c>
    </row>
    <row r="12" spans="1:10" x14ac:dyDescent="0.25">
      <c r="A12" s="8" t="s">
        <v>23</v>
      </c>
      <c r="B12" s="11">
        <f xml:space="preserve"> B10/B4</f>
        <v>0.19111795209224358</v>
      </c>
      <c r="C12" s="11">
        <f>C10/C4</f>
        <v>0.18520640698671639</v>
      </c>
    </row>
  </sheetData>
  <mergeCells count="1">
    <mergeCell ref="A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13.5703125" customWidth="1"/>
    <col min="3" max="3" width="13.42578125" customWidth="1"/>
  </cols>
  <sheetData>
    <row r="1" spans="1:4" ht="57.75" customHeight="1" x14ac:dyDescent="0.25">
      <c r="A1" s="15" t="s">
        <v>11</v>
      </c>
      <c r="B1" s="15"/>
      <c r="C1" s="15"/>
      <c r="D1" s="1"/>
    </row>
    <row r="2" spans="1:4" ht="18.75" hidden="1" customHeight="1" x14ac:dyDescent="0.25">
      <c r="A2" s="15"/>
      <c r="B2" s="15"/>
      <c r="C2" s="15"/>
      <c r="D2" s="1"/>
    </row>
    <row r="3" spans="1:4" hidden="1" x14ac:dyDescent="0.25">
      <c r="A3" s="15"/>
      <c r="B3" s="15"/>
      <c r="C3" s="15"/>
    </row>
    <row r="4" spans="1:4" ht="30" customHeight="1" x14ac:dyDescent="0.25">
      <c r="A4" s="2" t="s">
        <v>34</v>
      </c>
      <c r="B4" s="10" t="s">
        <v>35</v>
      </c>
      <c r="C4" s="10" t="s">
        <v>36</v>
      </c>
    </row>
    <row r="5" spans="1:4" ht="24" customHeight="1" x14ac:dyDescent="0.25">
      <c r="A5" s="8" t="s">
        <v>24</v>
      </c>
      <c r="B5" s="6">
        <v>159629</v>
      </c>
      <c r="C5" s="6">
        <v>182372</v>
      </c>
    </row>
    <row r="6" spans="1:4" ht="20.25" customHeight="1" x14ac:dyDescent="0.25">
      <c r="A6" s="8" t="s">
        <v>25</v>
      </c>
      <c r="B6" s="6">
        <v>95771</v>
      </c>
      <c r="C6" s="6">
        <v>108478</v>
      </c>
    </row>
    <row r="7" spans="1:4" ht="19.5" customHeight="1" x14ac:dyDescent="0.25">
      <c r="A7" s="8" t="s">
        <v>26</v>
      </c>
      <c r="B7" s="6">
        <v>63858</v>
      </c>
      <c r="C7" s="6">
        <v>73894</v>
      </c>
    </row>
    <row r="8" spans="1:4" ht="19.5" customHeight="1" x14ac:dyDescent="0.25">
      <c r="A8" s="8" t="s">
        <v>27</v>
      </c>
      <c r="B8" s="6">
        <v>123011</v>
      </c>
      <c r="C8" s="6">
        <v>135705</v>
      </c>
    </row>
    <row r="9" spans="1:4" ht="15" customHeight="1" x14ac:dyDescent="0.25">
      <c r="A9" s="8" t="s">
        <v>28</v>
      </c>
      <c r="B9" s="6">
        <v>53001</v>
      </c>
      <c r="C9" s="6">
        <v>60914</v>
      </c>
    </row>
    <row r="10" spans="1:4" ht="18.75" customHeight="1" x14ac:dyDescent="0.25">
      <c r="A10" s="8" t="s">
        <v>29</v>
      </c>
      <c r="B10" s="6">
        <v>8342</v>
      </c>
      <c r="C10" s="6">
        <v>6417</v>
      </c>
    </row>
    <row r="11" spans="1:4" ht="15" customHeight="1" x14ac:dyDescent="0.25">
      <c r="A11" s="8" t="s">
        <v>30</v>
      </c>
      <c r="B11" s="6">
        <f>B8/B9</f>
        <v>2.3209184732363539</v>
      </c>
      <c r="C11" s="6">
        <f>C8/C9</f>
        <v>2.2278129822372525</v>
      </c>
    </row>
    <row r="12" spans="1:4" ht="15.75" customHeight="1" x14ac:dyDescent="0.25">
      <c r="A12" s="8" t="s">
        <v>33</v>
      </c>
      <c r="B12">
        <f>B7/B6</f>
        <v>0.66677804345783165</v>
      </c>
      <c r="C12">
        <f>C7/C6</f>
        <v>0.68118881247810614</v>
      </c>
    </row>
    <row r="13" spans="1:4" ht="16.5" customHeight="1" x14ac:dyDescent="0.25">
      <c r="A13" s="8" t="s">
        <v>31</v>
      </c>
      <c r="B13" s="5">
        <f>B5-B6-B7</f>
        <v>0</v>
      </c>
      <c r="C13" s="5">
        <f>C5-C6-C7</f>
        <v>0</v>
      </c>
    </row>
  </sheetData>
  <mergeCells count="1">
    <mergeCell ref="A1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9" sqref="F19"/>
    </sheetView>
  </sheetViews>
  <sheetFormatPr defaultRowHeight="15" x14ac:dyDescent="0.25"/>
  <cols>
    <col min="1" max="1" width="31" customWidth="1"/>
    <col min="2" max="2" width="12.28515625" customWidth="1"/>
    <col min="3" max="3" width="11.140625" customWidth="1"/>
  </cols>
  <sheetData>
    <row r="1" spans="1:3" x14ac:dyDescent="0.25">
      <c r="A1" s="13" t="s">
        <v>12</v>
      </c>
      <c r="B1" s="15"/>
      <c r="C1" s="15"/>
    </row>
    <row r="2" spans="1:3" x14ac:dyDescent="0.25">
      <c r="A2" s="15"/>
      <c r="B2" s="15"/>
      <c r="C2" s="15"/>
    </row>
    <row r="3" spans="1:3" x14ac:dyDescent="0.25">
      <c r="A3" s="15"/>
      <c r="B3" s="15"/>
      <c r="C3" s="15"/>
    </row>
    <row r="4" spans="1:3" ht="24" customHeight="1" x14ac:dyDescent="0.25">
      <c r="A4" s="2" t="s">
        <v>13</v>
      </c>
      <c r="B4" s="3" t="s">
        <v>14</v>
      </c>
      <c r="C4" s="3" t="s">
        <v>15</v>
      </c>
    </row>
    <row r="5" spans="1:3" ht="15" customHeight="1" x14ac:dyDescent="0.25">
      <c r="A5" s="8" t="s">
        <v>16</v>
      </c>
      <c r="B5" s="6">
        <v>46239</v>
      </c>
      <c r="C5" s="6">
        <v>52094</v>
      </c>
    </row>
    <row r="6" spans="1:3" ht="15" customHeight="1" x14ac:dyDescent="0.25">
      <c r="A6" s="8" t="s">
        <v>17</v>
      </c>
      <c r="B6" s="6">
        <v>2065</v>
      </c>
      <c r="C6" s="6">
        <v>12845</v>
      </c>
    </row>
    <row r="7" spans="1:3" ht="28.5" customHeight="1" x14ac:dyDescent="0.25">
      <c r="A7" s="8" t="s">
        <v>18</v>
      </c>
      <c r="B7" s="6">
        <v>-47438</v>
      </c>
      <c r="C7" s="6">
        <v>-42133</v>
      </c>
    </row>
    <row r="8" spans="1:3" ht="26.25" customHeight="1" x14ac:dyDescent="0.25">
      <c r="A8" s="8" t="s">
        <v>19</v>
      </c>
      <c r="B8" s="6">
        <f>B5+B6+B7</f>
        <v>866</v>
      </c>
      <c r="C8" s="6">
        <f>C5+C6+C7</f>
        <v>22806</v>
      </c>
    </row>
    <row r="9" spans="1:3" ht="15" customHeight="1" x14ac:dyDescent="0.25">
      <c r="A9" s="8" t="s">
        <v>20</v>
      </c>
      <c r="B9" s="6">
        <v>9016</v>
      </c>
      <c r="C9" s="6">
        <v>8342</v>
      </c>
    </row>
    <row r="10" spans="1:3" ht="15.75" customHeight="1" x14ac:dyDescent="0.25">
      <c r="A10" s="8" t="s">
        <v>21</v>
      </c>
      <c r="B10" s="6">
        <v>8342</v>
      </c>
      <c r="C10" s="6">
        <v>6417</v>
      </c>
    </row>
    <row r="11" spans="1:3" x14ac:dyDescent="0.25">
      <c r="A11" s="8" t="s">
        <v>21</v>
      </c>
      <c r="B11" s="6">
        <v>8342</v>
      </c>
      <c r="C11" s="6">
        <v>6417</v>
      </c>
    </row>
    <row r="12" spans="1:3" x14ac:dyDescent="0.25">
      <c r="A12" s="9" t="s">
        <v>32</v>
      </c>
      <c r="B12" s="5">
        <f>B5+B6+B7-B8</f>
        <v>0</v>
      </c>
      <c r="C12" s="5">
        <f>C5+C6+C7-C8</f>
        <v>0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2026-10-25T07:35:55Z</dcterms:created>
  <dcterms:modified xsi:type="dcterms:W3CDTF">2026-10-26T09:27:13Z</dcterms:modified>
</cp:coreProperties>
</file>